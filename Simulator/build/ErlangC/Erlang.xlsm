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DieseArbeitsmappe"/>
  <bookViews>
    <workbookView xWindow="0" yWindow="0" windowWidth="19200" windowHeight="11595" activeTab="2"/>
  </bookViews>
  <sheets>
    <sheet name="MM1" sheetId="13" r:id="rId1"/>
    <sheet name="MMc" sheetId="12" r:id="rId2"/>
    <sheet name="MMcKM" sheetId="14" r:id="rId3"/>
    <sheet name="MMcc" sheetId="15" r:id="rId4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14" l="1"/>
  <c r="G15" i="15" l="1"/>
  <c r="B112" i="14"/>
  <c r="G112" i="14" s="1"/>
  <c r="B111" i="14"/>
  <c r="G111" i="14" s="1"/>
  <c r="B110" i="14"/>
  <c r="G113" i="14" s="1"/>
  <c r="B96" i="14"/>
  <c r="G96" i="14" s="1"/>
  <c r="B95" i="14"/>
  <c r="G95" i="14" s="1"/>
  <c r="B94" i="14"/>
  <c r="B81" i="14"/>
  <c r="G81" i="14" s="1"/>
  <c r="B80" i="14"/>
  <c r="G80" i="14" s="1"/>
  <c r="B79" i="14"/>
  <c r="B66" i="14"/>
  <c r="G66" i="14" s="1"/>
  <c r="B65" i="14"/>
  <c r="G65" i="14" s="1"/>
  <c r="B64" i="14"/>
  <c r="G64" i="14" s="1"/>
  <c r="G51" i="14"/>
  <c r="B50" i="14"/>
  <c r="G50" i="14" s="1"/>
  <c r="B49" i="14"/>
  <c r="G49" i="14" s="1"/>
  <c r="B34" i="14"/>
  <c r="G34" i="14" s="1"/>
  <c r="B18" i="14"/>
  <c r="G18" i="14" s="1"/>
  <c r="B35" i="14"/>
  <c r="G35" i="14" s="1"/>
  <c r="B33" i="14"/>
  <c r="B19" i="14"/>
  <c r="G19" i="14" s="1"/>
  <c r="B17" i="14"/>
  <c r="G17" i="14" s="1"/>
  <c r="B84" i="13"/>
  <c r="B72" i="13"/>
  <c r="G71" i="13"/>
  <c r="G83" i="13"/>
  <c r="B60" i="13"/>
  <c r="G59" i="13"/>
  <c r="B50" i="13"/>
  <c r="G49" i="13"/>
  <c r="B40" i="13"/>
  <c r="G39" i="13"/>
  <c r="B30" i="13"/>
  <c r="G28" i="13"/>
  <c r="B17" i="13"/>
  <c r="G15" i="13"/>
  <c r="G82" i="13"/>
  <c r="G70" i="13"/>
  <c r="G27" i="13"/>
  <c r="B86" i="12"/>
  <c r="G86" i="12" s="1"/>
  <c r="B85" i="12"/>
  <c r="B74" i="12"/>
  <c r="G74" i="12" s="1"/>
  <c r="B73" i="12"/>
  <c r="G73" i="12" s="1"/>
  <c r="G63" i="12"/>
  <c r="G52" i="12"/>
  <c r="G41" i="12"/>
  <c r="G16" i="12"/>
  <c r="G28" i="12"/>
  <c r="B28" i="12"/>
  <c r="B27" i="12"/>
  <c r="G27" i="12" s="1"/>
  <c r="B54" i="14"/>
  <c r="B39" i="14"/>
  <c r="B115" i="14"/>
  <c r="B76" i="12"/>
  <c r="B42" i="12"/>
  <c r="B23" i="14"/>
  <c r="B88" i="12"/>
  <c r="B99" i="14"/>
  <c r="B64" i="12"/>
  <c r="B69" i="14"/>
  <c r="B16" i="15"/>
  <c r="B84" i="14"/>
  <c r="B53" i="12"/>
  <c r="G97" i="14" l="1"/>
  <c r="G82" i="14"/>
  <c r="G36" i="14"/>
  <c r="G110" i="14"/>
  <c r="G94" i="14"/>
  <c r="G20" i="14"/>
  <c r="G67" i="14"/>
  <c r="G79" i="14"/>
  <c r="G52" i="14"/>
  <c r="G33" i="14"/>
  <c r="G26" i="13"/>
  <c r="G69" i="13"/>
  <c r="G81" i="13"/>
  <c r="G87" i="12"/>
  <c r="G85" i="12"/>
  <c r="G29" i="12"/>
  <c r="G75" i="12"/>
  <c r="B18" i="12"/>
  <c r="B31" i="12"/>
</calcChain>
</file>

<file path=xl/sharedStrings.xml><?xml version="1.0" encoding="utf-8"?>
<sst xmlns="http://schemas.openxmlformats.org/spreadsheetml/2006/main" count="412" uniqueCount="98">
  <si>
    <t>a</t>
  </si>
  <si>
    <t>c</t>
  </si>
  <si>
    <t>n</t>
  </si>
  <si>
    <t>lambda</t>
  </si>
  <si>
    <t>mu</t>
  </si>
  <si>
    <t>t</t>
  </si>
  <si>
    <t>nu</t>
  </si>
  <si>
    <t>K</t>
  </si>
  <si>
    <r>
      <t xml:space="preserve">Gibt an, mit welcher Wahrscheinlichkeit sich </t>
    </r>
    <r>
      <rPr>
        <b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Personen im System befinden</t>
    </r>
  </si>
  <si>
    <t>MMcZustandsP(a,c,n)</t>
  </si>
  <si>
    <t>ErlangC(lambda,mu,c,t)</t>
  </si>
  <si>
    <r>
      <t xml:space="preserve">Weitere Parameter: Arbeitslast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=lambda/mu und Anzahl an Agenten </t>
    </r>
    <r>
      <rPr>
        <b/>
        <sz val="11"/>
        <color theme="1"/>
        <rFont val="Calibri"/>
        <family val="2"/>
        <scheme val="minor"/>
      </rPr>
      <t>c</t>
    </r>
  </si>
  <si>
    <r>
      <t xml:space="preserve">Gibt an, mit welcher Wahrscheinlichkeit ein Kunde höchstens 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Sekunden warten muss</t>
    </r>
  </si>
  <si>
    <r>
      <t xml:space="preserve">Weitere 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1/Sekunde),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1/Sekunde) und Anzahl an Agenten </t>
    </r>
    <r>
      <rPr>
        <b/>
        <sz val="11"/>
        <color theme="1"/>
        <rFont val="Calibri"/>
        <family val="2"/>
        <scheme val="minor"/>
      </rPr>
      <t>c</t>
    </r>
  </si>
  <si>
    <t>ErlangC_P1(a,c)</t>
  </si>
  <si>
    <t>Blockierwahrscheinlichkeit (=P(W&gt;0))</t>
  </si>
  <si>
    <r>
      <t>Zustandswahrscheinlichkeiten (=p</t>
    </r>
    <r>
      <rPr>
        <b/>
        <vertAlign val="subscript"/>
        <sz val="13"/>
        <color theme="1"/>
        <rFont val="Calibri"/>
        <family val="2"/>
        <scheme val="minor"/>
      </rPr>
      <t>n</t>
    </r>
    <r>
      <rPr>
        <b/>
        <sz val="13"/>
        <color theme="1"/>
        <rFont val="Calibri"/>
        <family val="2"/>
        <scheme val="minor"/>
      </rPr>
      <t>)</t>
    </r>
  </si>
  <si>
    <t>Wartezeitverteilung (Erlang-C-Formel, =P(W&lt;=t))</t>
  </si>
  <si>
    <t>Gibt an mit welcher Wahrscheinlichkeit ein Kunde warten muss</t>
  </si>
  <si>
    <r>
      <t xml:space="preserve">Parameter: Arbeitslast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=lambda/mu und Anzahl an Agenten </t>
    </r>
    <r>
      <rPr>
        <b/>
        <sz val="11"/>
        <color theme="1"/>
        <rFont val="Calibri"/>
        <family val="2"/>
        <scheme val="minor"/>
      </rPr>
      <t>c</t>
    </r>
  </si>
  <si>
    <t>Personen im System</t>
  </si>
  <si>
    <t>Arbeitslast (=lambda/mu)</t>
  </si>
  <si>
    <t>Wahrscheinlichkeit für n Kunden</t>
  </si>
  <si>
    <t>Ergebnis</t>
  </si>
  <si>
    <t>Ankunftsrate (in 1/Sekunde)</t>
  </si>
  <si>
    <t>Bedienrate (in 1/Sekunde)</t>
  </si>
  <si>
    <t>Anzahl an Agenten</t>
  </si>
  <si>
    <t>Wahrscheinlichkeit für Wartezeit &lt;=t</t>
  </si>
  <si>
    <t>=&gt; E[I]=</t>
  </si>
  <si>
    <t>=&gt; E[S]=</t>
  </si>
  <si>
    <t>=&gt; rho=</t>
  </si>
  <si>
    <t>Auslastung</t>
  </si>
  <si>
    <t>Mittlere Zwischenankunftszeit (in Sekunden)</t>
  </si>
  <si>
    <t>Mittlere Bedienzeit (in Sekunden)</t>
  </si>
  <si>
    <t>ErlangC_P1(a,c)*a/(c-a)</t>
  </si>
  <si>
    <t>Gibt die mittlere Warteschlangenlänge an</t>
  </si>
  <si>
    <r>
      <t>Mittlere Warteschlangenlänge (=E[N</t>
    </r>
    <r>
      <rPr>
        <b/>
        <vertAlign val="subscript"/>
        <sz val="13"/>
        <color theme="1"/>
        <rFont val="Calibri"/>
        <family val="2"/>
        <scheme val="minor"/>
      </rPr>
      <t>Q</t>
    </r>
    <r>
      <rPr>
        <b/>
        <sz val="13"/>
        <color theme="1"/>
        <rFont val="Calibri"/>
        <family val="2"/>
        <scheme val="minor"/>
      </rPr>
      <t>])</t>
    </r>
  </si>
  <si>
    <t>Mittlere Anzahl an Kunden im System (=E[N])</t>
  </si>
  <si>
    <t>ErlangC_P1(a,c)*a/(c-a)+a</t>
  </si>
  <si>
    <t>Mittlere Wartezeit (=E[W])</t>
  </si>
  <si>
    <t>Gibt die mittlere Anzahl an Kunden im System (wartend und in Bedienung) an</t>
  </si>
  <si>
    <t>M/M/c-System</t>
  </si>
  <si>
    <t>Exponentielle Zwischenankunftszeiten (mittlerer Abstand zwischen zwei Kundenankünften E[I]=1/lambda)</t>
  </si>
  <si>
    <t>Exponentielle Bedienzeiten (mittlere Bedienzeit E[S]=1/mu)</t>
  </si>
  <si>
    <t>c&gt;=1 Agenten</t>
  </si>
  <si>
    <t>Keine Beschränkung der Warte- und Bedienraumgröße</t>
  </si>
  <si>
    <t>ErlangC_P1(lambda/mu,c)/(c*mu-lambda)</t>
  </si>
  <si>
    <t>Gibt die mittlere Wartezeit der Kunden an</t>
  </si>
  <si>
    <r>
      <t xml:space="preserve">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1/Sekunde),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1/Sekunde) und Anzahl an Agenten </t>
    </r>
    <r>
      <rPr>
        <b/>
        <sz val="11"/>
        <color theme="1"/>
        <rFont val="Calibri"/>
        <family val="2"/>
        <scheme val="minor"/>
      </rPr>
      <t>c</t>
    </r>
  </si>
  <si>
    <t>Wahrscheinlichkeit, dass ein Kunde warten muss</t>
  </si>
  <si>
    <t>Mittlere Warteschlangenlänge</t>
  </si>
  <si>
    <t>Mittlere Anzahl an Kunden im System</t>
  </si>
  <si>
    <t>Mittlere Wartezeit (in Sekunden)</t>
  </si>
  <si>
    <t>Wartezeit höchstens so lang (in Sekunden)</t>
  </si>
  <si>
    <t>Mittlere Verweilzeit (=E[V])</t>
  </si>
  <si>
    <t>ErlangC_P1(lambda/mu,c)/(c*mu-lambda)+1/mu</t>
  </si>
  <si>
    <t>Mittlere Verweilzeit (in Sekunden)</t>
  </si>
  <si>
    <t>Gibt die mittlere Verweilzeit (=Wartezeit+Bedienzeit) der Kunden an</t>
  </si>
  <si>
    <t>M/M/1-System</t>
  </si>
  <si>
    <t>Ein Agent</t>
  </si>
  <si>
    <t>a^n(1-a)</t>
  </si>
  <si>
    <r>
      <t xml:space="preserve">Weiterer Parameter: Arbeitslast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=lambda/mu</t>
    </r>
  </si>
  <si>
    <t>Wartezeitverteilung (=P(W&lt;=t))</t>
  </si>
  <si>
    <r>
      <t xml:space="preserve">Weitere 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1/Sekunde) und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1/Sekunde)</t>
    </r>
  </si>
  <si>
    <t>1-lambda/mu*EXP((lambda-mu)*t)</t>
  </si>
  <si>
    <t>a^2/(1-a)</t>
  </si>
  <si>
    <r>
      <t xml:space="preserve">Parameter: Arbeitslast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=lambda/mu</t>
    </r>
  </si>
  <si>
    <t>a/(1-a)</t>
  </si>
  <si>
    <t>lambda/mu/(mu-lambda)</t>
  </si>
  <si>
    <t>1/(mu-lambda)</t>
  </si>
  <si>
    <r>
      <t xml:space="preserve">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1/Sekunde) und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1/Sekunde)</t>
    </r>
  </si>
  <si>
    <t>M/M/c/K+M-System</t>
  </si>
  <si>
    <t>Warte- und Bedienraumgröße: K (sind K Kunden im System, wird der nächste Anrufer abgewiesen)</t>
  </si>
  <si>
    <t>Exponentielle Wartezeittoleranzen (mittlere Wartezeittoleranz E[WT]=1/nu)</t>
  </si>
  <si>
    <t>MMcKMZustandsP(lambda,mu,nu,c,K,n)</t>
  </si>
  <si>
    <t>Abbruchrate (in 1/Sek.)</t>
  </si>
  <si>
    <t>Mittlere Wartezeittoleranz (in Sekunden)</t>
  </si>
  <si>
    <t>Warte- und Bedienraumgröße</t>
  </si>
  <si>
    <t>ErwErlangC(lambda,mu,nu,c,K,t)</t>
  </si>
  <si>
    <r>
      <t xml:space="preserve">Weitere 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1/Sekunden),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1/Sekunden),</t>
    </r>
  </si>
  <si>
    <r>
      <t xml:space="preserve">Abbruchrate </t>
    </r>
    <r>
      <rPr>
        <b/>
        <sz val="11"/>
        <color theme="1"/>
        <rFont val="Calibri"/>
        <family val="2"/>
        <scheme val="minor"/>
      </rPr>
      <t>nu</t>
    </r>
    <r>
      <rPr>
        <sz val="11"/>
        <color theme="1"/>
        <rFont val="Calibri"/>
        <family val="2"/>
        <scheme val="minor"/>
      </rPr>
      <t xml:space="preserve"> (in 1/Sekunden) und Anzahl an Agenten </t>
    </r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, Warte- und Bedienraumgröße </t>
    </r>
    <r>
      <rPr>
        <b/>
        <sz val="11"/>
        <color theme="1"/>
        <rFont val="Calibri"/>
        <family val="2"/>
        <scheme val="minor"/>
      </rPr>
      <t>K</t>
    </r>
  </si>
  <si>
    <t>Wartezeitverteilung (Erweiterte Erlang-C-Formel, =P(W&lt;=t))</t>
  </si>
  <si>
    <t>=&gt; E[WT]=</t>
  </si>
  <si>
    <t>Wahrscheinlichkeit für Warteabbruch (=P(A))</t>
  </si>
  <si>
    <t>ErwErlangC_PA(lambda,mu,nu,c,K)</t>
  </si>
  <si>
    <t>Gibt an mit welcher Wahrscheinlichkeit ein Kunde das Warten aufgibt</t>
  </si>
  <si>
    <r>
      <t xml:space="preserve">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1/Sekunden),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1/Sekunden),</t>
    </r>
  </si>
  <si>
    <t>Wahrscheinlichkeit, dass ein Kunde das Warten aufgibt</t>
  </si>
  <si>
    <t>ErwErlangC_ENQ(lambda,mu,nu,c,K)</t>
  </si>
  <si>
    <t>ErwErlangC_EN(lambda,mu,nu,c,K)</t>
  </si>
  <si>
    <t>ErwErlangC_EW(lambda,mu,nu,c,K)</t>
  </si>
  <si>
    <t>ErwErlangC_EV(lambda,mu,nu,c,K)</t>
  </si>
  <si>
    <r>
      <rPr>
        <b/>
        <sz val="11"/>
        <color theme="1"/>
        <rFont val="Calibri"/>
        <family val="2"/>
        <scheme val="minor"/>
      </rPr>
      <t>Achtung:</t>
    </r>
    <r>
      <rPr>
        <sz val="11"/>
        <color theme="1"/>
        <rFont val="Calibri"/>
        <family val="2"/>
        <scheme val="minor"/>
      </rPr>
      <t xml:space="preserve"> Hier geht auch die Abbruchzeit der Warteabbrecher mit ein.</t>
    </r>
  </si>
  <si>
    <t>M/M/c/c-System</t>
  </si>
  <si>
    <t>Warte- und Bedienraumgröße: c (d.h. keine Warteschlange; ist kein Bediener frei, wird der Kunde abgewiesen)</t>
  </si>
  <si>
    <r>
      <t>Verlustwahrscheinlichkeiten (=p</t>
    </r>
    <r>
      <rPr>
        <b/>
        <vertAlign val="subscript"/>
        <sz val="13"/>
        <color theme="1"/>
        <rFont val="Calibri"/>
        <family val="2"/>
        <scheme val="minor"/>
      </rPr>
      <t>c</t>
    </r>
    <r>
      <rPr>
        <b/>
        <sz val="13"/>
        <color theme="1"/>
        <rFont val="Calibri"/>
        <family val="2"/>
        <scheme val="minor"/>
      </rPr>
      <t>)</t>
    </r>
  </si>
  <si>
    <t>ErlangB(a,c)</t>
  </si>
  <si>
    <r>
      <t xml:space="preserve">Gibt an, mit welcher Wahrscheinlichkeit sich </t>
    </r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Personen im System befinden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</si>
</sst>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/>
    <xf numFmtId="0" fontId="7" fillId="0" borderId="0" xfId="0" applyFont="1"/>
    <xf numFmtId="0" fontId="0" fillId="0" borderId="0" xfId="0" applyFont="1"/>
    <xf numFmtId="0" fontId="0" fillId="3" borderId="0" xfId="0" applyFill="1"/>
    <xf numFmtId="164" fontId="6" fillId="2" borderId="0" xfId="1" applyNumberFormat="1" applyFont="1" applyFill="1"/>
    <xf numFmtId="0" fontId="0" fillId="0" borderId="0" xfId="0" quotePrefix="1"/>
    <xf numFmtId="0" fontId="9" fillId="0" borderId="0" xfId="0" quotePrefix="1" applyFont="1"/>
    <xf numFmtId="0" fontId="9" fillId="0" borderId="0" xfId="0" applyFont="1"/>
    <xf numFmtId="9" fontId="9" fillId="0" borderId="0" xfId="1" applyFont="1"/>
    <xf numFmtId="165" fontId="6" fillId="2" borderId="0" xfId="1" applyNumberFormat="1" applyFont="1" applyFill="1"/>
    <xf numFmtId="2" fontId="6" fillId="2" borderId="0" xfId="1" applyNumberFormat="1" applyFont="1" applyFill="1"/>
    <xf numFmtId="0" fontId="4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H84"/>
  <sheetViews>
    <sheetView topLeftCell="A40" workbookViewId="0">
      <selection sqref="A1:H1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15" t="s">
        <v>58</v>
      </c>
      <c r="B1" s="15"/>
      <c r="C1" s="15"/>
      <c r="D1" s="15"/>
      <c r="E1" s="15"/>
      <c r="F1" s="15"/>
      <c r="G1" s="15"/>
      <c r="H1" s="15"/>
    </row>
    <row r="3" spans="1:8" x14ac:dyDescent="0.25">
      <c r="A3" t="s">
        <v>42</v>
      </c>
    </row>
    <row r="4" spans="1:8" x14ac:dyDescent="0.25">
      <c r="A4" t="s">
        <v>43</v>
      </c>
    </row>
    <row r="5" spans="1:8" x14ac:dyDescent="0.25">
      <c r="A5" s="8" t="s">
        <v>59</v>
      </c>
    </row>
    <row r="6" spans="1:8" x14ac:dyDescent="0.25">
      <c r="A6" t="s">
        <v>45</v>
      </c>
    </row>
    <row r="9" spans="1:8" ht="18.75" x14ac:dyDescent="0.35">
      <c r="A9" s="14" t="s">
        <v>16</v>
      </c>
      <c r="B9" s="14"/>
      <c r="C9" s="14"/>
      <c r="D9" s="14"/>
      <c r="E9" s="14"/>
      <c r="F9" s="14"/>
      <c r="G9" s="14"/>
      <c r="H9" s="14"/>
    </row>
    <row r="10" spans="1:8" s="5" customFormat="1" x14ac:dyDescent="0.25">
      <c r="A10" s="2"/>
    </row>
    <row r="11" spans="1:8" x14ac:dyDescent="0.25">
      <c r="A11" s="3" t="s">
        <v>60</v>
      </c>
    </row>
    <row r="12" spans="1:8" x14ac:dyDescent="0.25">
      <c r="A12" t="s">
        <v>8</v>
      </c>
    </row>
    <row r="13" spans="1:8" x14ac:dyDescent="0.25">
      <c r="A13" t="s">
        <v>61</v>
      </c>
    </row>
    <row r="15" spans="1:8" x14ac:dyDescent="0.25">
      <c r="A15" t="s">
        <v>0</v>
      </c>
      <c r="B15" s="6">
        <v>0.8</v>
      </c>
      <c r="C15" s="4" t="s">
        <v>21</v>
      </c>
      <c r="F15" s="9" t="s">
        <v>30</v>
      </c>
      <c r="G15" s="11">
        <f>B15</f>
        <v>0.8</v>
      </c>
      <c r="H15" s="10" t="s">
        <v>31</v>
      </c>
    </row>
    <row r="16" spans="1:8" x14ac:dyDescent="0.25">
      <c r="A16" t="s">
        <v>2</v>
      </c>
      <c r="B16" s="6">
        <v>3</v>
      </c>
      <c r="C16" s="4" t="s">
        <v>20</v>
      </c>
    </row>
    <row r="17" spans="1:8" x14ac:dyDescent="0.25">
      <c r="A17" t="s">
        <v>23</v>
      </c>
      <c r="B17" s="7">
        <f>B15^B16*(1-B15)</f>
        <v>0.1024</v>
      </c>
      <c r="C17" s="4" t="s">
        <v>22</v>
      </c>
    </row>
    <row r="18" spans="1:8" x14ac:dyDescent="0.25">
      <c r="B18" s="1"/>
      <c r="C18" s="4"/>
    </row>
    <row r="20" spans="1:8" ht="17.25" x14ac:dyDescent="0.3">
      <c r="A20" s="14" t="s">
        <v>62</v>
      </c>
      <c r="B20" s="14"/>
      <c r="C20" s="14"/>
      <c r="D20" s="14"/>
      <c r="E20" s="14"/>
      <c r="F20" s="14"/>
      <c r="G20" s="14"/>
      <c r="H20" s="14"/>
    </row>
    <row r="22" spans="1:8" x14ac:dyDescent="0.25">
      <c r="A22" s="3" t="s">
        <v>64</v>
      </c>
    </row>
    <row r="23" spans="1:8" x14ac:dyDescent="0.25">
      <c r="A23" t="s">
        <v>12</v>
      </c>
    </row>
    <row r="24" spans="1:8" x14ac:dyDescent="0.25">
      <c r="A24" t="s">
        <v>63</v>
      </c>
    </row>
    <row r="26" spans="1:8" x14ac:dyDescent="0.25">
      <c r="A26" t="s">
        <v>3</v>
      </c>
      <c r="B26" s="6">
        <v>0.01</v>
      </c>
      <c r="C26" s="4" t="s">
        <v>24</v>
      </c>
      <c r="F26" s="9" t="s">
        <v>28</v>
      </c>
      <c r="G26" s="10">
        <f>1/B26</f>
        <v>100</v>
      </c>
      <c r="H26" s="10" t="s">
        <v>32</v>
      </c>
    </row>
    <row r="27" spans="1:8" x14ac:dyDescent="0.25">
      <c r="A27" t="s">
        <v>4</v>
      </c>
      <c r="B27" s="6">
        <v>1.2500000000000001E-2</v>
      </c>
      <c r="C27" s="4" t="s">
        <v>25</v>
      </c>
      <c r="F27" s="9" t="s">
        <v>29</v>
      </c>
      <c r="G27" s="10">
        <f>1/B27</f>
        <v>80</v>
      </c>
      <c r="H27" s="10" t="s">
        <v>33</v>
      </c>
    </row>
    <row r="28" spans="1:8" x14ac:dyDescent="0.25">
      <c r="F28" s="9" t="s">
        <v>30</v>
      </c>
      <c r="G28" s="11">
        <f>B26/B27</f>
        <v>0.79999999999999993</v>
      </c>
      <c r="H28" s="10" t="s">
        <v>31</v>
      </c>
    </row>
    <row r="29" spans="1:8" x14ac:dyDescent="0.25">
      <c r="A29" t="s">
        <v>5</v>
      </c>
      <c r="B29" s="6">
        <v>20</v>
      </c>
      <c r="C29" s="4" t="s">
        <v>53</v>
      </c>
    </row>
    <row r="30" spans="1:8" x14ac:dyDescent="0.25">
      <c r="A30" t="s">
        <v>23</v>
      </c>
      <c r="B30" s="7">
        <f>1-B26/B27*EXP((B26-B27)*B29)</f>
        <v>0.23901646039942881</v>
      </c>
      <c r="C30" s="4" t="s">
        <v>27</v>
      </c>
    </row>
    <row r="33" spans="1:8" ht="17.25" x14ac:dyDescent="0.3">
      <c r="A33" s="14" t="s">
        <v>15</v>
      </c>
      <c r="B33" s="14"/>
      <c r="C33" s="14"/>
      <c r="D33" s="14"/>
      <c r="E33" s="14"/>
      <c r="F33" s="14"/>
      <c r="G33" s="14"/>
      <c r="H33" s="14"/>
    </row>
    <row r="35" spans="1:8" x14ac:dyDescent="0.25">
      <c r="A35" s="3" t="s">
        <v>0</v>
      </c>
    </row>
    <row r="36" spans="1:8" x14ac:dyDescent="0.25">
      <c r="A36" t="s">
        <v>18</v>
      </c>
    </row>
    <row r="37" spans="1:8" x14ac:dyDescent="0.25">
      <c r="A37" t="s">
        <v>66</v>
      </c>
    </row>
    <row r="39" spans="1:8" x14ac:dyDescent="0.25">
      <c r="A39" t="s">
        <v>0</v>
      </c>
      <c r="B39" s="6">
        <v>0.8</v>
      </c>
      <c r="C39" s="4" t="s">
        <v>21</v>
      </c>
      <c r="F39" s="9" t="s">
        <v>30</v>
      </c>
      <c r="G39" s="11">
        <f>B39</f>
        <v>0.8</v>
      </c>
      <c r="H39" s="10" t="s">
        <v>31</v>
      </c>
    </row>
    <row r="40" spans="1:8" x14ac:dyDescent="0.25">
      <c r="A40" t="s">
        <v>23</v>
      </c>
      <c r="B40" s="7">
        <f>B39</f>
        <v>0.8</v>
      </c>
      <c r="C40" s="4" t="s">
        <v>49</v>
      </c>
    </row>
    <row r="43" spans="1:8" ht="18.75" x14ac:dyDescent="0.35">
      <c r="A43" s="14" t="s">
        <v>36</v>
      </c>
      <c r="B43" s="14"/>
      <c r="C43" s="14"/>
      <c r="D43" s="14"/>
      <c r="E43" s="14"/>
      <c r="F43" s="14"/>
      <c r="G43" s="14"/>
      <c r="H43" s="14"/>
    </row>
    <row r="45" spans="1:8" x14ac:dyDescent="0.25">
      <c r="A45" s="3" t="s">
        <v>65</v>
      </c>
    </row>
    <row r="46" spans="1:8" x14ac:dyDescent="0.25">
      <c r="A46" t="s">
        <v>35</v>
      </c>
    </row>
    <row r="47" spans="1:8" x14ac:dyDescent="0.25">
      <c r="A47" t="s">
        <v>66</v>
      </c>
    </row>
    <row r="49" spans="1:8" x14ac:dyDescent="0.25">
      <c r="A49" t="s">
        <v>0</v>
      </c>
      <c r="B49" s="6">
        <v>0.8</v>
      </c>
      <c r="C49" s="4" t="s">
        <v>21</v>
      </c>
      <c r="F49" s="9" t="s">
        <v>30</v>
      </c>
      <c r="G49" s="11">
        <f>B49</f>
        <v>0.8</v>
      </c>
      <c r="H49" s="10" t="s">
        <v>31</v>
      </c>
    </row>
    <row r="50" spans="1:8" x14ac:dyDescent="0.25">
      <c r="A50" t="s">
        <v>23</v>
      </c>
      <c r="B50" s="13">
        <f>B49^2/(1-B49)</f>
        <v>3.2000000000000015</v>
      </c>
      <c r="C50" s="4" t="s">
        <v>50</v>
      </c>
    </row>
    <row r="53" spans="1:8" ht="17.25" x14ac:dyDescent="0.3">
      <c r="A53" s="14" t="s">
        <v>37</v>
      </c>
      <c r="B53" s="14"/>
      <c r="C53" s="14"/>
      <c r="D53" s="14"/>
      <c r="E53" s="14"/>
      <c r="F53" s="14"/>
      <c r="G53" s="14"/>
      <c r="H53" s="14"/>
    </row>
    <row r="55" spans="1:8" x14ac:dyDescent="0.25">
      <c r="A55" s="3" t="s">
        <v>67</v>
      </c>
    </row>
    <row r="56" spans="1:8" x14ac:dyDescent="0.25">
      <c r="A56" t="s">
        <v>40</v>
      </c>
    </row>
    <row r="57" spans="1:8" x14ac:dyDescent="0.25">
      <c r="A57" t="s">
        <v>66</v>
      </c>
    </row>
    <row r="59" spans="1:8" x14ac:dyDescent="0.25">
      <c r="A59" t="s">
        <v>0</v>
      </c>
      <c r="B59" s="6">
        <v>0.8</v>
      </c>
      <c r="C59" s="4" t="s">
        <v>21</v>
      </c>
      <c r="F59" s="9" t="s">
        <v>30</v>
      </c>
      <c r="G59" s="11">
        <f>B59</f>
        <v>0.8</v>
      </c>
      <c r="H59" s="10" t="s">
        <v>31</v>
      </c>
    </row>
    <row r="60" spans="1:8" x14ac:dyDescent="0.25">
      <c r="A60" t="s">
        <v>23</v>
      </c>
      <c r="B60" s="13">
        <f>B59/(1-B59)</f>
        <v>4.0000000000000009</v>
      </c>
      <c r="C60" s="4" t="s">
        <v>51</v>
      </c>
    </row>
    <row r="63" spans="1:8" ht="17.25" x14ac:dyDescent="0.3">
      <c r="A63" s="14" t="s">
        <v>39</v>
      </c>
      <c r="B63" s="14"/>
      <c r="C63" s="14"/>
      <c r="D63" s="14"/>
      <c r="E63" s="14"/>
      <c r="F63" s="14"/>
      <c r="G63" s="14"/>
      <c r="H63" s="14"/>
    </row>
    <row r="65" spans="1:8" x14ac:dyDescent="0.25">
      <c r="A65" s="3" t="s">
        <v>68</v>
      </c>
    </row>
    <row r="66" spans="1:8" x14ac:dyDescent="0.25">
      <c r="A66" t="s">
        <v>47</v>
      </c>
    </row>
    <row r="67" spans="1:8" x14ac:dyDescent="0.25">
      <c r="A67" t="s">
        <v>70</v>
      </c>
    </row>
    <row r="69" spans="1:8" x14ac:dyDescent="0.25">
      <c r="A69" t="s">
        <v>3</v>
      </c>
      <c r="B69" s="6">
        <v>0.01</v>
      </c>
      <c r="C69" s="4" t="s">
        <v>24</v>
      </c>
      <c r="F69" s="9" t="s">
        <v>28</v>
      </c>
      <c r="G69" s="10">
        <f>1/B69</f>
        <v>100</v>
      </c>
      <c r="H69" s="10" t="s">
        <v>32</v>
      </c>
    </row>
    <row r="70" spans="1:8" x14ac:dyDescent="0.25">
      <c r="A70" t="s">
        <v>4</v>
      </c>
      <c r="B70" s="6">
        <v>1.2500000000000001E-2</v>
      </c>
      <c r="C70" s="4" t="s">
        <v>25</v>
      </c>
      <c r="F70" s="9" t="s">
        <v>29</v>
      </c>
      <c r="G70" s="10">
        <f>1/B70</f>
        <v>80</v>
      </c>
      <c r="H70" s="10" t="s">
        <v>33</v>
      </c>
    </row>
    <row r="71" spans="1:8" x14ac:dyDescent="0.25">
      <c r="F71" s="9" t="s">
        <v>30</v>
      </c>
      <c r="G71" s="11">
        <f>B69/B70</f>
        <v>0.79999999999999993</v>
      </c>
      <c r="H71" s="10" t="s">
        <v>31</v>
      </c>
    </row>
    <row r="72" spans="1:8" x14ac:dyDescent="0.25">
      <c r="A72" t="s">
        <v>23</v>
      </c>
      <c r="B72" s="12">
        <f>B69/B70/(B70-B69)</f>
        <v>319.99999999999989</v>
      </c>
      <c r="C72" s="4" t="s">
        <v>52</v>
      </c>
    </row>
    <row r="75" spans="1:8" ht="17.25" x14ac:dyDescent="0.3">
      <c r="A75" s="14" t="s">
        <v>54</v>
      </c>
      <c r="B75" s="14"/>
      <c r="C75" s="14"/>
      <c r="D75" s="14"/>
      <c r="E75" s="14"/>
      <c r="F75" s="14"/>
      <c r="G75" s="14"/>
      <c r="H75" s="14"/>
    </row>
    <row r="77" spans="1:8" x14ac:dyDescent="0.25">
      <c r="A77" s="3" t="s">
        <v>69</v>
      </c>
    </row>
    <row r="78" spans="1:8" x14ac:dyDescent="0.25">
      <c r="A78" t="s">
        <v>57</v>
      </c>
    </row>
    <row r="79" spans="1:8" x14ac:dyDescent="0.25">
      <c r="A79" t="s">
        <v>70</v>
      </c>
    </row>
    <row r="81" spans="1:8" x14ac:dyDescent="0.25">
      <c r="A81" t="s">
        <v>3</v>
      </c>
      <c r="B81" s="6">
        <v>0.01</v>
      </c>
      <c r="C81" s="4" t="s">
        <v>24</v>
      </c>
      <c r="F81" s="9" t="s">
        <v>28</v>
      </c>
      <c r="G81" s="10">
        <f>1/B81</f>
        <v>100</v>
      </c>
      <c r="H81" s="10" t="s">
        <v>32</v>
      </c>
    </row>
    <row r="82" spans="1:8" x14ac:dyDescent="0.25">
      <c r="A82" t="s">
        <v>4</v>
      </c>
      <c r="B82" s="6">
        <v>1.2500000000000001E-2</v>
      </c>
      <c r="C82" s="4" t="s">
        <v>25</v>
      </c>
      <c r="F82" s="9" t="s">
        <v>29</v>
      </c>
      <c r="G82" s="10">
        <f>1/B82</f>
        <v>80</v>
      </c>
      <c r="H82" s="10" t="s">
        <v>33</v>
      </c>
    </row>
    <row r="83" spans="1:8" x14ac:dyDescent="0.25">
      <c r="F83" s="9" t="s">
        <v>30</v>
      </c>
      <c r="G83" s="11">
        <f>B81/B82</f>
        <v>0.79999999999999993</v>
      </c>
      <c r="H83" s="10" t="s">
        <v>31</v>
      </c>
    </row>
    <row r="84" spans="1:8" x14ac:dyDescent="0.25">
      <c r="A84" t="s">
        <v>23</v>
      </c>
      <c r="B84" s="12">
        <f>1/(B82-B81)</f>
        <v>399.99999999999994</v>
      </c>
      <c r="C84" s="4" t="s">
        <v>56</v>
      </c>
    </row>
  </sheetData>
  <mergeCells count="8">
    <mergeCell ref="A63:H63"/>
    <mergeCell ref="A75:H75"/>
    <mergeCell ref="A1:H1"/>
    <mergeCell ref="A9:H9"/>
    <mergeCell ref="A20:H20"/>
    <mergeCell ref="A33:H33"/>
    <mergeCell ref="A43:H43"/>
    <mergeCell ref="A53:H53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H88"/>
  <sheetViews>
    <sheetView workbookViewId="0">
      <selection sqref="A1:H1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15" t="s">
        <v>41</v>
      </c>
      <c r="B1" s="15"/>
      <c r="C1" s="15"/>
      <c r="D1" s="15"/>
      <c r="E1" s="15"/>
      <c r="F1" s="15"/>
      <c r="G1" s="15"/>
      <c r="H1" s="15"/>
    </row>
    <row r="3" spans="1:8" x14ac:dyDescent="0.25">
      <c r="A3" t="s">
        <v>42</v>
      </c>
    </row>
    <row r="4" spans="1:8" x14ac:dyDescent="0.25">
      <c r="A4" t="s">
        <v>43</v>
      </c>
    </row>
    <row r="5" spans="1:8" x14ac:dyDescent="0.25">
      <c r="A5" s="8" t="s">
        <v>44</v>
      </c>
    </row>
    <row r="6" spans="1:8" x14ac:dyDescent="0.25">
      <c r="A6" t="s">
        <v>45</v>
      </c>
    </row>
    <row r="9" spans="1:8" ht="18.75" x14ac:dyDescent="0.35">
      <c r="A9" s="14" t="s">
        <v>16</v>
      </c>
      <c r="B9" s="14"/>
      <c r="C9" s="14"/>
      <c r="D9" s="14"/>
      <c r="E9" s="14"/>
      <c r="F9" s="14"/>
      <c r="G9" s="14"/>
      <c r="H9" s="14"/>
    </row>
    <row r="10" spans="1:8" s="5" customFormat="1" x14ac:dyDescent="0.25">
      <c r="A10" s="2"/>
    </row>
    <row r="11" spans="1:8" x14ac:dyDescent="0.25">
      <c r="A11" s="3" t="s">
        <v>9</v>
      </c>
    </row>
    <row r="12" spans="1:8" x14ac:dyDescent="0.25">
      <c r="A12" t="s">
        <v>8</v>
      </c>
    </row>
    <row r="13" spans="1:8" x14ac:dyDescent="0.25">
      <c r="A13" t="s">
        <v>11</v>
      </c>
    </row>
    <row r="15" spans="1:8" x14ac:dyDescent="0.25">
      <c r="A15" t="s">
        <v>0</v>
      </c>
      <c r="B15" s="6">
        <v>7</v>
      </c>
      <c r="C15" s="4" t="s">
        <v>21</v>
      </c>
    </row>
    <row r="16" spans="1:8" x14ac:dyDescent="0.25">
      <c r="A16" t="s">
        <v>1</v>
      </c>
      <c r="B16" s="6">
        <v>9</v>
      </c>
      <c r="C16" s="4" t="s">
        <v>26</v>
      </c>
      <c r="F16" s="9" t="s">
        <v>30</v>
      </c>
      <c r="G16" s="11">
        <f>B15/B16</f>
        <v>0.77777777777777779</v>
      </c>
      <c r="H16" s="10" t="s">
        <v>31</v>
      </c>
    </row>
    <row r="17" spans="1:8" x14ac:dyDescent="0.25">
      <c r="A17" t="s">
        <v>2</v>
      </c>
      <c r="B17" s="6">
        <v>3</v>
      </c>
      <c r="C17" s="4" t="s">
        <v>20</v>
      </c>
    </row>
    <row r="18" spans="1:8" x14ac:dyDescent="0.25">
      <c r="A18" t="s">
        <v>23</v>
      </c>
      <c r="B18" s="7">
        <f>MMcZustandsP(B15,B16,B17)</f>
        <v>4.3975630438567039E-2</v>
      </c>
      <c r="C18" s="4" t="s">
        <v>22</v>
      </c>
    </row>
    <row r="19" spans="1:8" x14ac:dyDescent="0.25">
      <c r="B19" s="1"/>
      <c r="C19" s="4"/>
    </row>
    <row r="21" spans="1:8" ht="17.25" x14ac:dyDescent="0.3">
      <c r="A21" s="14" t="s">
        <v>17</v>
      </c>
      <c r="B21" s="14"/>
      <c r="C21" s="14"/>
      <c r="D21" s="14"/>
      <c r="E21" s="14"/>
      <c r="F21" s="14"/>
      <c r="G21" s="14"/>
      <c r="H21" s="14"/>
    </row>
    <row r="23" spans="1:8" x14ac:dyDescent="0.25">
      <c r="A23" s="3" t="s">
        <v>10</v>
      </c>
    </row>
    <row r="24" spans="1:8" x14ac:dyDescent="0.25">
      <c r="A24" t="s">
        <v>12</v>
      </c>
    </row>
    <row r="25" spans="1:8" x14ac:dyDescent="0.25">
      <c r="A25" t="s">
        <v>13</v>
      </c>
    </row>
    <row r="27" spans="1:8" x14ac:dyDescent="0.25">
      <c r="A27" t="s">
        <v>3</v>
      </c>
      <c r="B27" s="6">
        <f>1/10</f>
        <v>0.1</v>
      </c>
      <c r="C27" s="4" t="s">
        <v>24</v>
      </c>
      <c r="F27" s="9" t="s">
        <v>28</v>
      </c>
      <c r="G27" s="10">
        <f>1/B27</f>
        <v>10</v>
      </c>
      <c r="H27" s="10" t="s">
        <v>32</v>
      </c>
    </row>
    <row r="28" spans="1:8" x14ac:dyDescent="0.25">
      <c r="A28" t="s">
        <v>4</v>
      </c>
      <c r="B28" s="6">
        <f>1/300</f>
        <v>3.3333333333333335E-3</v>
      </c>
      <c r="C28" s="4" t="s">
        <v>25</v>
      </c>
      <c r="F28" s="9" t="s">
        <v>29</v>
      </c>
      <c r="G28" s="10">
        <f>1/B28</f>
        <v>300</v>
      </c>
      <c r="H28" s="10" t="s">
        <v>33</v>
      </c>
    </row>
    <row r="29" spans="1:8" x14ac:dyDescent="0.25">
      <c r="A29" t="s">
        <v>1</v>
      </c>
      <c r="B29" s="6">
        <v>35</v>
      </c>
      <c r="C29" s="4" t="s">
        <v>26</v>
      </c>
      <c r="F29" s="9" t="s">
        <v>30</v>
      </c>
      <c r="G29" s="11">
        <f>B27/B28/B29</f>
        <v>0.8571428571428571</v>
      </c>
      <c r="H29" s="10" t="s">
        <v>31</v>
      </c>
    </row>
    <row r="30" spans="1:8" x14ac:dyDescent="0.25">
      <c r="A30" t="s">
        <v>5</v>
      </c>
      <c r="B30" s="6">
        <v>20</v>
      </c>
      <c r="C30" s="4" t="s">
        <v>53</v>
      </c>
    </row>
    <row r="31" spans="1:8" x14ac:dyDescent="0.25">
      <c r="A31" t="s">
        <v>23</v>
      </c>
      <c r="B31" s="7">
        <f>ErlangC(1/10,1/300,35,20)</f>
        <v>0.79608775524053343</v>
      </c>
      <c r="C31" s="4" t="s">
        <v>27</v>
      </c>
    </row>
    <row r="34" spans="1:8" ht="17.25" x14ac:dyDescent="0.3">
      <c r="A34" s="14" t="s">
        <v>15</v>
      </c>
      <c r="B34" s="14"/>
      <c r="C34" s="14"/>
      <c r="D34" s="14"/>
      <c r="E34" s="14"/>
      <c r="F34" s="14"/>
      <c r="G34" s="14"/>
      <c r="H34" s="14"/>
    </row>
    <row r="36" spans="1:8" x14ac:dyDescent="0.25">
      <c r="A36" s="3" t="s">
        <v>14</v>
      </c>
    </row>
    <row r="37" spans="1:8" x14ac:dyDescent="0.25">
      <c r="A37" t="s">
        <v>18</v>
      </c>
    </row>
    <row r="38" spans="1:8" x14ac:dyDescent="0.25">
      <c r="A38" t="s">
        <v>19</v>
      </c>
    </row>
    <row r="40" spans="1:8" x14ac:dyDescent="0.25">
      <c r="A40" t="s">
        <v>0</v>
      </c>
      <c r="B40" s="6">
        <v>7</v>
      </c>
      <c r="C40" s="4" t="s">
        <v>21</v>
      </c>
    </row>
    <row r="41" spans="1:8" x14ac:dyDescent="0.25">
      <c r="A41" t="s">
        <v>1</v>
      </c>
      <c r="B41" s="6">
        <v>9</v>
      </c>
      <c r="C41" s="4" t="s">
        <v>26</v>
      </c>
      <c r="F41" s="9" t="s">
        <v>30</v>
      </c>
      <c r="G41" s="11">
        <f>B40/B41</f>
        <v>0.77777777777777779</v>
      </c>
      <c r="H41" s="10" t="s">
        <v>31</v>
      </c>
    </row>
    <row r="42" spans="1:8" x14ac:dyDescent="0.25">
      <c r="A42" t="s">
        <v>23</v>
      </c>
      <c r="B42" s="7">
        <f>ErlangC_P1(B40,B41)</f>
        <v>0.38494709415676881</v>
      </c>
      <c r="C42" s="4" t="s">
        <v>49</v>
      </c>
    </row>
    <row r="45" spans="1:8" ht="18.75" x14ac:dyDescent="0.35">
      <c r="A45" s="14" t="s">
        <v>36</v>
      </c>
      <c r="B45" s="14"/>
      <c r="C45" s="14"/>
      <c r="D45" s="14"/>
      <c r="E45" s="14"/>
      <c r="F45" s="14"/>
      <c r="G45" s="14"/>
      <c r="H45" s="14"/>
    </row>
    <row r="47" spans="1:8" x14ac:dyDescent="0.25">
      <c r="A47" s="3" t="s">
        <v>34</v>
      </c>
    </row>
    <row r="48" spans="1:8" x14ac:dyDescent="0.25">
      <c r="A48" t="s">
        <v>35</v>
      </c>
    </row>
    <row r="49" spans="1:8" x14ac:dyDescent="0.25">
      <c r="A49" t="s">
        <v>19</v>
      </c>
    </row>
    <row r="51" spans="1:8" x14ac:dyDescent="0.25">
      <c r="A51" t="s">
        <v>0</v>
      </c>
      <c r="B51" s="6">
        <v>7</v>
      </c>
      <c r="C51" s="4" t="s">
        <v>21</v>
      </c>
    </row>
    <row r="52" spans="1:8" x14ac:dyDescent="0.25">
      <c r="A52" t="s">
        <v>1</v>
      </c>
      <c r="B52" s="6">
        <v>9</v>
      </c>
      <c r="C52" s="4" t="s">
        <v>26</v>
      </c>
      <c r="F52" s="9" t="s">
        <v>30</v>
      </c>
      <c r="G52" s="11">
        <f>B51/B52</f>
        <v>0.77777777777777779</v>
      </c>
      <c r="H52" s="10" t="s">
        <v>31</v>
      </c>
    </row>
    <row r="53" spans="1:8" x14ac:dyDescent="0.25">
      <c r="A53" t="s">
        <v>23</v>
      </c>
      <c r="B53" s="13">
        <f>ErlangC_P1(B51,B52)*B51/(B52-B51)</f>
        <v>1.3473148295486908</v>
      </c>
      <c r="C53" s="4" t="s">
        <v>50</v>
      </c>
    </row>
    <row r="56" spans="1:8" ht="17.25" x14ac:dyDescent="0.3">
      <c r="A56" s="14" t="s">
        <v>37</v>
      </c>
      <c r="B56" s="14"/>
      <c r="C56" s="14"/>
      <c r="D56" s="14"/>
      <c r="E56" s="14"/>
      <c r="F56" s="14"/>
      <c r="G56" s="14"/>
      <c r="H56" s="14"/>
    </row>
    <row r="58" spans="1:8" x14ac:dyDescent="0.25">
      <c r="A58" s="3" t="s">
        <v>38</v>
      </c>
    </row>
    <row r="59" spans="1:8" x14ac:dyDescent="0.25">
      <c r="A59" t="s">
        <v>40</v>
      </c>
    </row>
    <row r="60" spans="1:8" x14ac:dyDescent="0.25">
      <c r="A60" t="s">
        <v>19</v>
      </c>
    </row>
    <row r="62" spans="1:8" x14ac:dyDescent="0.25">
      <c r="A62" t="s">
        <v>0</v>
      </c>
      <c r="B62" s="6">
        <v>7</v>
      </c>
      <c r="C62" s="4" t="s">
        <v>21</v>
      </c>
    </row>
    <row r="63" spans="1:8" x14ac:dyDescent="0.25">
      <c r="A63" t="s">
        <v>1</v>
      </c>
      <c r="B63" s="6">
        <v>9</v>
      </c>
      <c r="C63" s="4" t="s">
        <v>26</v>
      </c>
      <c r="F63" s="9" t="s">
        <v>30</v>
      </c>
      <c r="G63" s="11">
        <f>B62/B63</f>
        <v>0.77777777777777779</v>
      </c>
      <c r="H63" s="10" t="s">
        <v>31</v>
      </c>
    </row>
    <row r="64" spans="1:8" x14ac:dyDescent="0.25">
      <c r="A64" t="s">
        <v>23</v>
      </c>
      <c r="B64" s="13">
        <f>ErlangC_P1(B62,B63)*B62/(B63-B62)+B62</f>
        <v>8.3473148295486901</v>
      </c>
      <c r="C64" s="4" t="s">
        <v>51</v>
      </c>
    </row>
    <row r="67" spans="1:8" ht="17.25" x14ac:dyDescent="0.3">
      <c r="A67" s="14" t="s">
        <v>39</v>
      </c>
      <c r="B67" s="14"/>
      <c r="C67" s="14"/>
      <c r="D67" s="14"/>
      <c r="E67" s="14"/>
      <c r="F67" s="14"/>
      <c r="G67" s="14"/>
      <c r="H67" s="14"/>
    </row>
    <row r="69" spans="1:8" x14ac:dyDescent="0.25">
      <c r="A69" s="3" t="s">
        <v>46</v>
      </c>
    </row>
    <row r="70" spans="1:8" x14ac:dyDescent="0.25">
      <c r="A70" t="s">
        <v>47</v>
      </c>
    </row>
    <row r="71" spans="1:8" x14ac:dyDescent="0.25">
      <c r="A71" t="s">
        <v>48</v>
      </c>
    </row>
    <row r="73" spans="1:8" x14ac:dyDescent="0.25">
      <c r="A73" t="s">
        <v>3</v>
      </c>
      <c r="B73" s="6">
        <f>1/10</f>
        <v>0.1</v>
      </c>
      <c r="C73" s="4" t="s">
        <v>24</v>
      </c>
      <c r="F73" s="9" t="s">
        <v>28</v>
      </c>
      <c r="G73" s="10">
        <f>1/B73</f>
        <v>10</v>
      </c>
      <c r="H73" s="10" t="s">
        <v>32</v>
      </c>
    </row>
    <row r="74" spans="1:8" x14ac:dyDescent="0.25">
      <c r="A74" t="s">
        <v>4</v>
      </c>
      <c r="B74" s="6">
        <f>1/300</f>
        <v>3.3333333333333335E-3</v>
      </c>
      <c r="C74" s="4" t="s">
        <v>25</v>
      </c>
      <c r="F74" s="9" t="s">
        <v>29</v>
      </c>
      <c r="G74" s="10">
        <f>1/B74</f>
        <v>300</v>
      </c>
      <c r="H74" s="10" t="s">
        <v>33</v>
      </c>
    </row>
    <row r="75" spans="1:8" x14ac:dyDescent="0.25">
      <c r="A75" t="s">
        <v>1</v>
      </c>
      <c r="B75" s="6">
        <v>35</v>
      </c>
      <c r="C75" s="4" t="s">
        <v>26</v>
      </c>
      <c r="F75" s="9" t="s">
        <v>30</v>
      </c>
      <c r="G75" s="11">
        <f>B73/B74/B75</f>
        <v>0.8571428571428571</v>
      </c>
      <c r="H75" s="10" t="s">
        <v>31</v>
      </c>
    </row>
    <row r="76" spans="1:8" x14ac:dyDescent="0.25">
      <c r="A76" t="s">
        <v>23</v>
      </c>
      <c r="B76" s="12">
        <f>ErlangC_P1(B73/B74,B75)/(B75*B74-B73)</f>
        <v>17.074947744810448</v>
      </c>
      <c r="C76" s="4" t="s">
        <v>52</v>
      </c>
    </row>
    <row r="79" spans="1:8" ht="17.25" x14ac:dyDescent="0.3">
      <c r="A79" s="14" t="s">
        <v>54</v>
      </c>
      <c r="B79" s="14"/>
      <c r="C79" s="14"/>
      <c r="D79" s="14"/>
      <c r="E79" s="14"/>
      <c r="F79" s="14"/>
      <c r="G79" s="14"/>
      <c r="H79" s="14"/>
    </row>
    <row r="81" spans="1:8" x14ac:dyDescent="0.25">
      <c r="A81" s="3" t="s">
        <v>55</v>
      </c>
    </row>
    <row r="82" spans="1:8" x14ac:dyDescent="0.25">
      <c r="A82" t="s">
        <v>57</v>
      </c>
    </row>
    <row r="83" spans="1:8" x14ac:dyDescent="0.25">
      <c r="A83" t="s">
        <v>48</v>
      </c>
    </row>
    <row r="85" spans="1:8" x14ac:dyDescent="0.25">
      <c r="A85" t="s">
        <v>3</v>
      </c>
      <c r="B85" s="6">
        <f>1/10</f>
        <v>0.1</v>
      </c>
      <c r="C85" s="4" t="s">
        <v>24</v>
      </c>
      <c r="F85" s="9" t="s">
        <v>28</v>
      </c>
      <c r="G85" s="10">
        <f>1/B85</f>
        <v>10</v>
      </c>
      <c r="H85" s="10" t="s">
        <v>32</v>
      </c>
    </row>
    <row r="86" spans="1:8" x14ac:dyDescent="0.25">
      <c r="A86" t="s">
        <v>4</v>
      </c>
      <c r="B86" s="6">
        <f>1/300</f>
        <v>3.3333333333333335E-3</v>
      </c>
      <c r="C86" s="4" t="s">
        <v>25</v>
      </c>
      <c r="F86" s="9" t="s">
        <v>29</v>
      </c>
      <c r="G86" s="10">
        <f>1/B86</f>
        <v>300</v>
      </c>
      <c r="H86" s="10" t="s">
        <v>33</v>
      </c>
    </row>
    <row r="87" spans="1:8" x14ac:dyDescent="0.25">
      <c r="A87" t="s">
        <v>1</v>
      </c>
      <c r="B87" s="6">
        <v>35</v>
      </c>
      <c r="C87" s="4" t="s">
        <v>26</v>
      </c>
      <c r="F87" s="9" t="s">
        <v>30</v>
      </c>
      <c r="G87" s="11">
        <f>B85/B86/B87</f>
        <v>0.8571428571428571</v>
      </c>
      <c r="H87" s="10" t="s">
        <v>31</v>
      </c>
    </row>
    <row r="88" spans="1:8" x14ac:dyDescent="0.25">
      <c r="A88" t="s">
        <v>23</v>
      </c>
      <c r="B88" s="12">
        <f>ErlangC_P1(B85/B86,B87)/(B87*B86-B85)+1/B86</f>
        <v>317.07494774481046</v>
      </c>
      <c r="C88" s="4" t="s">
        <v>56</v>
      </c>
    </row>
  </sheetData>
  <mergeCells count="8">
    <mergeCell ref="A67:H67"/>
    <mergeCell ref="A79:H79"/>
    <mergeCell ref="A9:H9"/>
    <mergeCell ref="A21:H21"/>
    <mergeCell ref="A1:H1"/>
    <mergeCell ref="A34:H34"/>
    <mergeCell ref="A45:H45"/>
    <mergeCell ref="A56:H56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H117"/>
  <sheetViews>
    <sheetView tabSelected="1" workbookViewId="0">
      <selection sqref="A1:H1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15" t="s">
        <v>71</v>
      </c>
      <c r="B1" s="15"/>
      <c r="C1" s="15"/>
      <c r="D1" s="15"/>
      <c r="E1" s="15"/>
      <c r="F1" s="15"/>
      <c r="G1" s="15"/>
      <c r="H1" s="15"/>
    </row>
    <row r="3" spans="1:8" x14ac:dyDescent="0.25">
      <c r="A3" t="s">
        <v>42</v>
      </c>
    </row>
    <row r="4" spans="1:8" x14ac:dyDescent="0.25">
      <c r="A4" t="s">
        <v>43</v>
      </c>
    </row>
    <row r="5" spans="1:8" x14ac:dyDescent="0.25">
      <c r="A5" t="s">
        <v>73</v>
      </c>
    </row>
    <row r="6" spans="1:8" x14ac:dyDescent="0.25">
      <c r="A6" s="8" t="s">
        <v>44</v>
      </c>
    </row>
    <row r="7" spans="1:8" x14ac:dyDescent="0.25">
      <c r="A7" t="s">
        <v>72</v>
      </c>
    </row>
    <row r="10" spans="1:8" ht="18.75" x14ac:dyDescent="0.35">
      <c r="A10" s="14" t="s">
        <v>16</v>
      </c>
      <c r="B10" s="14"/>
      <c r="C10" s="14"/>
      <c r="D10" s="14"/>
      <c r="E10" s="14"/>
      <c r="F10" s="14"/>
      <c r="G10" s="14"/>
      <c r="H10" s="14"/>
    </row>
    <row r="11" spans="1:8" s="5" customFormat="1" x14ac:dyDescent="0.25">
      <c r="A11" s="2"/>
    </row>
    <row r="12" spans="1:8" x14ac:dyDescent="0.25">
      <c r="A12" s="3" t="s">
        <v>74</v>
      </c>
    </row>
    <row r="13" spans="1:8" x14ac:dyDescent="0.25">
      <c r="A13" t="s">
        <v>8</v>
      </c>
    </row>
    <row r="14" spans="1:8" x14ac:dyDescent="0.25">
      <c r="A14" t="s">
        <v>79</v>
      </c>
    </row>
    <row r="15" spans="1:8" x14ac:dyDescent="0.25">
      <c r="A15" t="s">
        <v>80</v>
      </c>
    </row>
    <row r="17" spans="1:8" x14ac:dyDescent="0.25">
      <c r="A17" t="s">
        <v>3</v>
      </c>
      <c r="B17" s="6">
        <f>1/10</f>
        <v>0.1</v>
      </c>
      <c r="C17" s="4" t="s">
        <v>24</v>
      </c>
      <c r="F17" s="9" t="s">
        <v>28</v>
      </c>
      <c r="G17" s="10">
        <f>1/B17</f>
        <v>10</v>
      </c>
      <c r="H17" s="10" t="s">
        <v>32</v>
      </c>
    </row>
    <row r="18" spans="1:8" x14ac:dyDescent="0.25">
      <c r="A18" t="s">
        <v>4</v>
      </c>
      <c r="B18" s="6">
        <f>1/240</f>
        <v>4.1666666666666666E-3</v>
      </c>
      <c r="C18" s="4" t="s">
        <v>25</v>
      </c>
      <c r="F18" s="9" t="s">
        <v>29</v>
      </c>
      <c r="G18" s="10">
        <f>1/B18</f>
        <v>240</v>
      </c>
      <c r="H18" s="10" t="s">
        <v>33</v>
      </c>
    </row>
    <row r="19" spans="1:8" x14ac:dyDescent="0.25">
      <c r="A19" t="s">
        <v>6</v>
      </c>
      <c r="B19" s="6">
        <f>1/300</f>
        <v>3.3333333333333335E-3</v>
      </c>
      <c r="C19" s="4" t="s">
        <v>75</v>
      </c>
      <c r="F19" s="9" t="s">
        <v>82</v>
      </c>
      <c r="G19" s="10">
        <f>1/B19</f>
        <v>300</v>
      </c>
      <c r="H19" s="10" t="s">
        <v>76</v>
      </c>
    </row>
    <row r="20" spans="1:8" x14ac:dyDescent="0.25">
      <c r="A20" t="s">
        <v>1</v>
      </c>
      <c r="B20" s="6">
        <v>28</v>
      </c>
      <c r="C20" s="4" t="s">
        <v>26</v>
      </c>
      <c r="F20" s="9" t="s">
        <v>30</v>
      </c>
      <c r="G20" s="11">
        <f>B17/B18/B20</f>
        <v>0.8571428571428571</v>
      </c>
      <c r="H20" s="10" t="s">
        <v>31</v>
      </c>
    </row>
    <row r="21" spans="1:8" x14ac:dyDescent="0.25">
      <c r="A21" t="s">
        <v>7</v>
      </c>
      <c r="B21" s="6">
        <v>80</v>
      </c>
      <c r="C21" s="4" t="s">
        <v>77</v>
      </c>
      <c r="F21" s="9"/>
      <c r="G21" s="11"/>
      <c r="H21" s="10"/>
    </row>
    <row r="22" spans="1:8" x14ac:dyDescent="0.25">
      <c r="A22" t="s">
        <v>2</v>
      </c>
      <c r="B22" s="6">
        <v>30</v>
      </c>
      <c r="C22" s="4" t="s">
        <v>20</v>
      </c>
    </row>
    <row r="23" spans="1:8" x14ac:dyDescent="0.25">
      <c r="A23" t="s">
        <v>23</v>
      </c>
      <c r="B23" s="7">
        <f>MMcKMZustandsP(B17,B18,B19,B20,B21,B22)</f>
        <v>3.6550867161883591E-2</v>
      </c>
      <c r="C23" s="4" t="s">
        <v>22</v>
      </c>
    </row>
    <row r="24" spans="1:8" x14ac:dyDescent="0.25">
      <c r="B24" s="1"/>
      <c r="C24" s="4"/>
    </row>
    <row r="26" spans="1:8" ht="17.25" x14ac:dyDescent="0.3">
      <c r="A26" s="14" t="s">
        <v>81</v>
      </c>
      <c r="B26" s="14"/>
      <c r="C26" s="14"/>
      <c r="D26" s="14"/>
      <c r="E26" s="14"/>
      <c r="F26" s="14"/>
      <c r="G26" s="14"/>
      <c r="H26" s="14"/>
    </row>
    <row r="28" spans="1:8" x14ac:dyDescent="0.25">
      <c r="A28" s="3" t="s">
        <v>78</v>
      </c>
    </row>
    <row r="29" spans="1:8" x14ac:dyDescent="0.25">
      <c r="A29" t="s">
        <v>12</v>
      </c>
    </row>
    <row r="30" spans="1:8" x14ac:dyDescent="0.25">
      <c r="A30" t="s">
        <v>79</v>
      </c>
    </row>
    <row r="31" spans="1:8" x14ac:dyDescent="0.25">
      <c r="A31" t="s">
        <v>80</v>
      </c>
    </row>
    <row r="33" spans="1:8" x14ac:dyDescent="0.25">
      <c r="A33" t="s">
        <v>3</v>
      </c>
      <c r="B33" s="6">
        <f>1/10</f>
        <v>0.1</v>
      </c>
      <c r="C33" s="4" t="s">
        <v>24</v>
      </c>
      <c r="F33" s="9" t="s">
        <v>28</v>
      </c>
      <c r="G33" s="10">
        <f>1/B33</f>
        <v>10</v>
      </c>
      <c r="H33" s="10" t="s">
        <v>32</v>
      </c>
    </row>
    <row r="34" spans="1:8" x14ac:dyDescent="0.25">
      <c r="A34" t="s">
        <v>4</v>
      </c>
      <c r="B34" s="6">
        <f>1/240</f>
        <v>4.1666666666666666E-3</v>
      </c>
      <c r="C34" s="4" t="s">
        <v>25</v>
      </c>
      <c r="F34" s="9" t="s">
        <v>29</v>
      </c>
      <c r="G34" s="10">
        <f>1/B34</f>
        <v>240</v>
      </c>
      <c r="H34" s="10" t="s">
        <v>33</v>
      </c>
    </row>
    <row r="35" spans="1:8" x14ac:dyDescent="0.25">
      <c r="A35" t="s">
        <v>6</v>
      </c>
      <c r="B35" s="6">
        <f>1/300</f>
        <v>3.3333333333333335E-3</v>
      </c>
      <c r="C35" s="4" t="s">
        <v>75</v>
      </c>
      <c r="F35" s="9" t="s">
        <v>82</v>
      </c>
      <c r="G35" s="10">
        <f>1/B35</f>
        <v>300</v>
      </c>
      <c r="H35" s="10" t="s">
        <v>76</v>
      </c>
    </row>
    <row r="36" spans="1:8" x14ac:dyDescent="0.25">
      <c r="A36" t="s">
        <v>1</v>
      </c>
      <c r="B36" s="6">
        <v>28</v>
      </c>
      <c r="C36" s="4" t="s">
        <v>26</v>
      </c>
      <c r="F36" s="9" t="s">
        <v>30</v>
      </c>
      <c r="G36" s="11">
        <f>B33/B34/B36</f>
        <v>0.8571428571428571</v>
      </c>
      <c r="H36" s="10" t="s">
        <v>31</v>
      </c>
    </row>
    <row r="37" spans="1:8" x14ac:dyDescent="0.25">
      <c r="A37" t="s">
        <v>7</v>
      </c>
      <c r="B37" s="6">
        <v>80</v>
      </c>
      <c r="C37" s="4" t="s">
        <v>77</v>
      </c>
      <c r="F37" s="9"/>
      <c r="G37" s="11"/>
      <c r="H37" s="10"/>
    </row>
    <row r="38" spans="1:8" x14ac:dyDescent="0.25">
      <c r="A38" t="s">
        <v>5</v>
      </c>
      <c r="B38" s="6">
        <v>20</v>
      </c>
      <c r="C38" s="4" t="s">
        <v>53</v>
      </c>
    </row>
    <row r="39" spans="1:8" x14ac:dyDescent="0.25">
      <c r="A39" t="s">
        <v>23</v>
      </c>
      <c r="B39" s="7">
        <f>ErwErlangC(B33,B34,B35,B36,B37,B38)</f>
        <v>0.86337219568430634</v>
      </c>
      <c r="C39" s="4" t="s">
        <v>27</v>
      </c>
    </row>
    <row r="42" spans="1:8" ht="17.25" x14ac:dyDescent="0.3">
      <c r="A42" s="14" t="s">
        <v>83</v>
      </c>
      <c r="B42" s="14"/>
      <c r="C42" s="14"/>
      <c r="D42" s="14"/>
      <c r="E42" s="14"/>
      <c r="F42" s="14"/>
      <c r="G42" s="14"/>
      <c r="H42" s="14"/>
    </row>
    <row r="44" spans="1:8" x14ac:dyDescent="0.25">
      <c r="A44" s="3" t="s">
        <v>84</v>
      </c>
    </row>
    <row r="45" spans="1:8" x14ac:dyDescent="0.25">
      <c r="A45" t="s">
        <v>85</v>
      </c>
    </row>
    <row r="46" spans="1:8" x14ac:dyDescent="0.25">
      <c r="A46" t="s">
        <v>86</v>
      </c>
    </row>
    <row r="47" spans="1:8" x14ac:dyDescent="0.25">
      <c r="A47" t="s">
        <v>80</v>
      </c>
    </row>
    <row r="49" spans="1:8" x14ac:dyDescent="0.25">
      <c r="A49" t="s">
        <v>3</v>
      </c>
      <c r="B49" s="6">
        <f>1/10</f>
        <v>0.1</v>
      </c>
      <c r="C49" s="4" t="s">
        <v>24</v>
      </c>
      <c r="F49" s="9" t="s">
        <v>28</v>
      </c>
      <c r="G49" s="10">
        <f>1/B49</f>
        <v>10</v>
      </c>
      <c r="H49" s="10" t="s">
        <v>32</v>
      </c>
    </row>
    <row r="50" spans="1:8" x14ac:dyDescent="0.25">
      <c r="A50" t="s">
        <v>4</v>
      </c>
      <c r="B50" s="6">
        <f>1/240</f>
        <v>4.1666666666666666E-3</v>
      </c>
      <c r="C50" s="4" t="s">
        <v>25</v>
      </c>
      <c r="F50" s="9" t="s">
        <v>29</v>
      </c>
      <c r="G50" s="10">
        <f>1/B50</f>
        <v>240</v>
      </c>
      <c r="H50" s="10" t="s">
        <v>33</v>
      </c>
    </row>
    <row r="51" spans="1:8" x14ac:dyDescent="0.25">
      <c r="A51" t="s">
        <v>6</v>
      </c>
      <c r="B51" s="6">
        <f>1/30</f>
        <v>3.3333333333333333E-2</v>
      </c>
      <c r="C51" s="4" t="s">
        <v>75</v>
      </c>
      <c r="F51" s="9" t="s">
        <v>82</v>
      </c>
      <c r="G51" s="10">
        <f>1/B51</f>
        <v>30</v>
      </c>
      <c r="H51" s="10" t="s">
        <v>76</v>
      </c>
    </row>
    <row r="52" spans="1:8" x14ac:dyDescent="0.25">
      <c r="A52" t="s">
        <v>1</v>
      </c>
      <c r="B52" s="6">
        <v>25</v>
      </c>
      <c r="C52" s="4" t="s">
        <v>26</v>
      </c>
      <c r="F52" s="9" t="s">
        <v>30</v>
      </c>
      <c r="G52" s="11">
        <f>B49/B50/B52</f>
        <v>0.96</v>
      </c>
      <c r="H52" s="10" t="s">
        <v>31</v>
      </c>
    </row>
    <row r="53" spans="1:8" x14ac:dyDescent="0.25">
      <c r="A53" t="s">
        <v>7</v>
      </c>
      <c r="B53" s="6">
        <v>80</v>
      </c>
      <c r="C53" s="4" t="s">
        <v>77</v>
      </c>
      <c r="F53" s="9"/>
      <c r="G53" s="11"/>
      <c r="H53" s="10"/>
    </row>
    <row r="54" spans="1:8" x14ac:dyDescent="0.25">
      <c r="A54" t="s">
        <v>23</v>
      </c>
      <c r="B54" s="7">
        <f>ErwErlangC_PA(B49,B50,B51,B52,B53)</f>
        <v>9.7590815625468189E-2</v>
      </c>
      <c r="C54" s="4" t="s">
        <v>87</v>
      </c>
    </row>
    <row r="57" spans="1:8" ht="18.75" x14ac:dyDescent="0.35">
      <c r="A57" s="14" t="s">
        <v>36</v>
      </c>
      <c r="B57" s="14"/>
      <c r="C57" s="14"/>
      <c r="D57" s="14"/>
      <c r="E57" s="14"/>
      <c r="F57" s="14"/>
      <c r="G57" s="14"/>
      <c r="H57" s="14"/>
    </row>
    <row r="59" spans="1:8" x14ac:dyDescent="0.25">
      <c r="A59" s="3" t="s">
        <v>88</v>
      </c>
    </row>
    <row r="60" spans="1:8" x14ac:dyDescent="0.25">
      <c r="A60" t="s">
        <v>35</v>
      </c>
    </row>
    <row r="61" spans="1:8" x14ac:dyDescent="0.25">
      <c r="A61" t="s">
        <v>86</v>
      </c>
    </row>
    <row r="62" spans="1:8" x14ac:dyDescent="0.25">
      <c r="A62" t="s">
        <v>80</v>
      </c>
    </row>
    <row r="64" spans="1:8" x14ac:dyDescent="0.25">
      <c r="A64" t="s">
        <v>3</v>
      </c>
      <c r="B64" s="6">
        <f>1/10</f>
        <v>0.1</v>
      </c>
      <c r="C64" s="4" t="s">
        <v>24</v>
      </c>
      <c r="F64" s="9" t="s">
        <v>28</v>
      </c>
      <c r="G64" s="10">
        <f>1/B64</f>
        <v>10</v>
      </c>
      <c r="H64" s="10" t="s">
        <v>32</v>
      </c>
    </row>
    <row r="65" spans="1:8" x14ac:dyDescent="0.25">
      <c r="A65" t="s">
        <v>4</v>
      </c>
      <c r="B65" s="6">
        <f>1/240</f>
        <v>4.1666666666666666E-3</v>
      </c>
      <c r="C65" s="4" t="s">
        <v>25</v>
      </c>
      <c r="F65" s="9" t="s">
        <v>29</v>
      </c>
      <c r="G65" s="10">
        <f>1/B65</f>
        <v>240</v>
      </c>
      <c r="H65" s="10" t="s">
        <v>33</v>
      </c>
    </row>
    <row r="66" spans="1:8" x14ac:dyDescent="0.25">
      <c r="A66" t="s">
        <v>6</v>
      </c>
      <c r="B66" s="6">
        <f>1/300</f>
        <v>3.3333333333333335E-3</v>
      </c>
      <c r="C66" s="4" t="s">
        <v>75</v>
      </c>
      <c r="F66" s="9" t="s">
        <v>82</v>
      </c>
      <c r="G66" s="10">
        <f>1/B66</f>
        <v>300</v>
      </c>
      <c r="H66" s="10" t="s">
        <v>76</v>
      </c>
    </row>
    <row r="67" spans="1:8" x14ac:dyDescent="0.25">
      <c r="A67" t="s">
        <v>1</v>
      </c>
      <c r="B67" s="6">
        <v>28</v>
      </c>
      <c r="C67" s="4" t="s">
        <v>26</v>
      </c>
      <c r="F67" s="9" t="s">
        <v>30</v>
      </c>
      <c r="G67" s="11">
        <f>B64/B65/B67</f>
        <v>0.8571428571428571</v>
      </c>
      <c r="H67" s="10" t="s">
        <v>31</v>
      </c>
    </row>
    <row r="68" spans="1:8" x14ac:dyDescent="0.25">
      <c r="A68" t="s">
        <v>7</v>
      </c>
      <c r="B68" s="6">
        <v>80</v>
      </c>
      <c r="C68" s="4" t="s">
        <v>77</v>
      </c>
      <c r="F68" s="9"/>
      <c r="G68" s="11"/>
      <c r="H68" s="10"/>
    </row>
    <row r="69" spans="1:8" x14ac:dyDescent="0.25">
      <c r="A69" t="s">
        <v>23</v>
      </c>
      <c r="B69" s="13">
        <f>ErwErlangC_ENQ(B64,B65,B66,B67,B68)</f>
        <v>0.68332618383583621</v>
      </c>
      <c r="C69" s="4" t="s">
        <v>50</v>
      </c>
    </row>
    <row r="72" spans="1:8" ht="17.25" x14ac:dyDescent="0.3">
      <c r="A72" s="14" t="s">
        <v>37</v>
      </c>
      <c r="B72" s="14"/>
      <c r="C72" s="14"/>
      <c r="D72" s="14"/>
      <c r="E72" s="14"/>
      <c r="F72" s="14"/>
      <c r="G72" s="14"/>
      <c r="H72" s="14"/>
    </row>
    <row r="74" spans="1:8" x14ac:dyDescent="0.25">
      <c r="A74" s="3" t="s">
        <v>89</v>
      </c>
    </row>
    <row r="75" spans="1:8" x14ac:dyDescent="0.25">
      <c r="A75" t="s">
        <v>40</v>
      </c>
    </row>
    <row r="76" spans="1:8" x14ac:dyDescent="0.25">
      <c r="A76" t="s">
        <v>86</v>
      </c>
    </row>
    <row r="77" spans="1:8" x14ac:dyDescent="0.25">
      <c r="A77" t="s">
        <v>80</v>
      </c>
    </row>
    <row r="79" spans="1:8" x14ac:dyDescent="0.25">
      <c r="A79" t="s">
        <v>3</v>
      </c>
      <c r="B79" s="6">
        <f>1/10</f>
        <v>0.1</v>
      </c>
      <c r="C79" s="4" t="s">
        <v>24</v>
      </c>
      <c r="F79" s="9" t="s">
        <v>28</v>
      </c>
      <c r="G79" s="10">
        <f>1/B79</f>
        <v>10</v>
      </c>
      <c r="H79" s="10" t="s">
        <v>32</v>
      </c>
    </row>
    <row r="80" spans="1:8" x14ac:dyDescent="0.25">
      <c r="A80" t="s">
        <v>4</v>
      </c>
      <c r="B80" s="6">
        <f>1/240</f>
        <v>4.1666666666666666E-3</v>
      </c>
      <c r="C80" s="4" t="s">
        <v>25</v>
      </c>
      <c r="F80" s="9" t="s">
        <v>29</v>
      </c>
      <c r="G80" s="10">
        <f>1/B80</f>
        <v>240</v>
      </c>
      <c r="H80" s="10" t="s">
        <v>33</v>
      </c>
    </row>
    <row r="81" spans="1:8" x14ac:dyDescent="0.25">
      <c r="A81" t="s">
        <v>6</v>
      </c>
      <c r="B81" s="6">
        <f>1/300</f>
        <v>3.3333333333333335E-3</v>
      </c>
      <c r="C81" s="4" t="s">
        <v>75</v>
      </c>
      <c r="F81" s="9" t="s">
        <v>82</v>
      </c>
      <c r="G81" s="10">
        <f>1/B81</f>
        <v>300</v>
      </c>
      <c r="H81" s="10" t="s">
        <v>76</v>
      </c>
    </row>
    <row r="82" spans="1:8" x14ac:dyDescent="0.25">
      <c r="A82" t="s">
        <v>1</v>
      </c>
      <c r="B82" s="6">
        <v>28</v>
      </c>
      <c r="C82" s="4" t="s">
        <v>26</v>
      </c>
      <c r="F82" s="9" t="s">
        <v>30</v>
      </c>
      <c r="G82" s="11">
        <f>B79/B80/B82</f>
        <v>0.8571428571428571</v>
      </c>
      <c r="H82" s="10" t="s">
        <v>31</v>
      </c>
    </row>
    <row r="83" spans="1:8" x14ac:dyDescent="0.25">
      <c r="A83" t="s">
        <v>7</v>
      </c>
      <c r="B83" s="6">
        <v>80</v>
      </c>
      <c r="C83" s="4" t="s">
        <v>77</v>
      </c>
      <c r="F83" s="9"/>
      <c r="G83" s="11"/>
      <c r="H83" s="10"/>
    </row>
    <row r="84" spans="1:8" x14ac:dyDescent="0.25">
      <c r="A84" t="s">
        <v>23</v>
      </c>
      <c r="B84" s="13">
        <f>ErwErlangC_EN(B79,B80,B81,B82,B83)</f>
        <v>24.136665236767172</v>
      </c>
      <c r="C84" s="4" t="s">
        <v>51</v>
      </c>
    </row>
    <row r="87" spans="1:8" ht="17.25" x14ac:dyDescent="0.3">
      <c r="A87" s="14" t="s">
        <v>39</v>
      </c>
      <c r="B87" s="14"/>
      <c r="C87" s="14"/>
      <c r="D87" s="14"/>
      <c r="E87" s="14"/>
      <c r="F87" s="14"/>
      <c r="G87" s="14"/>
      <c r="H87" s="14"/>
    </row>
    <row r="89" spans="1:8" x14ac:dyDescent="0.25">
      <c r="A89" s="3" t="s">
        <v>90</v>
      </c>
    </row>
    <row r="90" spans="1:8" x14ac:dyDescent="0.25">
      <c r="A90" t="s">
        <v>47</v>
      </c>
    </row>
    <row r="91" spans="1:8" x14ac:dyDescent="0.25">
      <c r="A91" t="s">
        <v>86</v>
      </c>
    </row>
    <row r="92" spans="1:8" x14ac:dyDescent="0.25">
      <c r="A92" t="s">
        <v>80</v>
      </c>
    </row>
    <row r="94" spans="1:8" x14ac:dyDescent="0.25">
      <c r="A94" t="s">
        <v>3</v>
      </c>
      <c r="B94" s="6">
        <f>1/10</f>
        <v>0.1</v>
      </c>
      <c r="C94" s="4" t="s">
        <v>24</v>
      </c>
      <c r="F94" s="9" t="s">
        <v>28</v>
      </c>
      <c r="G94" s="10">
        <f>1/B94</f>
        <v>10</v>
      </c>
      <c r="H94" s="10" t="s">
        <v>32</v>
      </c>
    </row>
    <row r="95" spans="1:8" x14ac:dyDescent="0.25">
      <c r="A95" t="s">
        <v>4</v>
      </c>
      <c r="B95" s="6">
        <f>1/240</f>
        <v>4.1666666666666666E-3</v>
      </c>
      <c r="C95" s="4" t="s">
        <v>25</v>
      </c>
      <c r="F95" s="9" t="s">
        <v>29</v>
      </c>
      <c r="G95" s="10">
        <f>1/B95</f>
        <v>240</v>
      </c>
      <c r="H95" s="10" t="s">
        <v>33</v>
      </c>
    </row>
    <row r="96" spans="1:8" x14ac:dyDescent="0.25">
      <c r="A96" t="s">
        <v>6</v>
      </c>
      <c r="B96" s="6">
        <f>1/300</f>
        <v>3.3333333333333335E-3</v>
      </c>
      <c r="C96" s="4" t="s">
        <v>75</v>
      </c>
      <c r="F96" s="9" t="s">
        <v>82</v>
      </c>
      <c r="G96" s="10">
        <f>1/B96</f>
        <v>300</v>
      </c>
      <c r="H96" s="10" t="s">
        <v>76</v>
      </c>
    </row>
    <row r="97" spans="1:8" x14ac:dyDescent="0.25">
      <c r="A97" t="s">
        <v>1</v>
      </c>
      <c r="B97" s="6">
        <v>28</v>
      </c>
      <c r="C97" s="4" t="s">
        <v>26</v>
      </c>
      <c r="F97" s="9" t="s">
        <v>30</v>
      </c>
      <c r="G97" s="11">
        <f>B94/B95/B97</f>
        <v>0.8571428571428571</v>
      </c>
      <c r="H97" s="10" t="s">
        <v>31</v>
      </c>
    </row>
    <row r="98" spans="1:8" x14ac:dyDescent="0.25">
      <c r="A98" t="s">
        <v>7</v>
      </c>
      <c r="B98" s="6">
        <v>80</v>
      </c>
      <c r="C98" s="4" t="s">
        <v>77</v>
      </c>
      <c r="F98" s="9"/>
      <c r="G98" s="11"/>
      <c r="H98" s="10"/>
    </row>
    <row r="99" spans="1:8" x14ac:dyDescent="0.25">
      <c r="A99" t="s">
        <v>23</v>
      </c>
      <c r="B99" s="13">
        <f>ErwErlangC_EW(B94,B95,B96,B97,B98)</f>
        <v>6.8332618383583617</v>
      </c>
      <c r="C99" s="4" t="s">
        <v>52</v>
      </c>
    </row>
    <row r="100" spans="1:8" x14ac:dyDescent="0.25">
      <c r="C100" s="4"/>
    </row>
    <row r="101" spans="1:8" x14ac:dyDescent="0.25">
      <c r="A101" t="s">
        <v>92</v>
      </c>
      <c r="C101" s="4"/>
    </row>
    <row r="103" spans="1:8" ht="17.25" x14ac:dyDescent="0.3">
      <c r="A103" s="14" t="s">
        <v>54</v>
      </c>
      <c r="B103" s="14"/>
      <c r="C103" s="14"/>
      <c r="D103" s="14"/>
      <c r="E103" s="14"/>
      <c r="F103" s="14"/>
      <c r="G103" s="14"/>
      <c r="H103" s="14"/>
    </row>
    <row r="105" spans="1:8" x14ac:dyDescent="0.25">
      <c r="A105" s="3" t="s">
        <v>91</v>
      </c>
    </row>
    <row r="106" spans="1:8" x14ac:dyDescent="0.25">
      <c r="A106" t="s">
        <v>57</v>
      </c>
    </row>
    <row r="107" spans="1:8" x14ac:dyDescent="0.25">
      <c r="A107" t="s">
        <v>86</v>
      </c>
    </row>
    <row r="108" spans="1:8" x14ac:dyDescent="0.25">
      <c r="A108" t="s">
        <v>80</v>
      </c>
    </row>
    <row r="110" spans="1:8" x14ac:dyDescent="0.25">
      <c r="A110" t="s">
        <v>3</v>
      </c>
      <c r="B110" s="6">
        <f>1/10</f>
        <v>0.1</v>
      </c>
      <c r="C110" s="4" t="s">
        <v>24</v>
      </c>
      <c r="F110" s="9" t="s">
        <v>28</v>
      </c>
      <c r="G110" s="10">
        <f>1/B110</f>
        <v>10</v>
      </c>
      <c r="H110" s="10" t="s">
        <v>32</v>
      </c>
    </row>
    <row r="111" spans="1:8" x14ac:dyDescent="0.25">
      <c r="A111" t="s">
        <v>4</v>
      </c>
      <c r="B111" s="6">
        <f>1/240</f>
        <v>4.1666666666666666E-3</v>
      </c>
      <c r="C111" s="4" t="s">
        <v>25</v>
      </c>
      <c r="F111" s="9" t="s">
        <v>29</v>
      </c>
      <c r="G111" s="10">
        <f>1/B111</f>
        <v>240</v>
      </c>
      <c r="H111" s="10" t="s">
        <v>33</v>
      </c>
    </row>
    <row r="112" spans="1:8" x14ac:dyDescent="0.25">
      <c r="A112" t="s">
        <v>6</v>
      </c>
      <c r="B112" s="6">
        <f>1/300</f>
        <v>3.3333333333333335E-3</v>
      </c>
      <c r="C112" s="4" t="s">
        <v>75</v>
      </c>
      <c r="F112" s="9" t="s">
        <v>82</v>
      </c>
      <c r="G112" s="10">
        <f>1/B112</f>
        <v>300</v>
      </c>
      <c r="H112" s="10" t="s">
        <v>76</v>
      </c>
    </row>
    <row r="113" spans="1:8" x14ac:dyDescent="0.25">
      <c r="A113" t="s">
        <v>1</v>
      </c>
      <c r="B113" s="6">
        <v>28</v>
      </c>
      <c r="C113" s="4" t="s">
        <v>26</v>
      </c>
      <c r="F113" s="9" t="s">
        <v>30</v>
      </c>
      <c r="G113" s="11">
        <f>B110/B111/B113</f>
        <v>0.8571428571428571</v>
      </c>
      <c r="H113" s="10" t="s">
        <v>31</v>
      </c>
    </row>
    <row r="114" spans="1:8" x14ac:dyDescent="0.25">
      <c r="A114" t="s">
        <v>7</v>
      </c>
      <c r="B114" s="6">
        <v>80</v>
      </c>
      <c r="C114" s="4" t="s">
        <v>77</v>
      </c>
      <c r="F114" s="9"/>
      <c r="G114" s="11"/>
      <c r="H114" s="10"/>
    </row>
    <row r="115" spans="1:8" x14ac:dyDescent="0.25">
      <c r="A115" t="s">
        <v>23</v>
      </c>
      <c r="B115" s="13">
        <f>ErwErlangC_EV(B110,B111,B112,B113,B114)</f>
        <v>241.36665236767172</v>
      </c>
      <c r="C115" s="4" t="s">
        <v>56</v>
      </c>
    </row>
    <row r="117" spans="1:8" x14ac:dyDescent="0.25">
      <c r="A117" t="s">
        <v>92</v>
      </c>
    </row>
  </sheetData>
  <mergeCells count="8">
    <mergeCell ref="A87:H87"/>
    <mergeCell ref="A103:H103"/>
    <mergeCell ref="A1:H1"/>
    <mergeCell ref="A10:H10"/>
    <mergeCell ref="A26:H26"/>
    <mergeCell ref="A42:H42"/>
    <mergeCell ref="A57:H57"/>
    <mergeCell ref="A72:H72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H16"/>
  <sheetViews>
    <sheetView workbookViewId="0">
      <selection sqref="A1:H1"/>
    </sheetView>
  </sheetViews>
  <sheetFormatPr baseColWidth="10" defaultRowHeight="15" x14ac:dyDescent="0.25"/>
  <sheetData>
    <row r="1" spans="1:8" ht="21" x14ac:dyDescent="0.35">
      <c r="A1" s="15" t="s">
        <v>93</v>
      </c>
      <c r="B1" s="15"/>
      <c r="C1" s="15"/>
      <c r="D1" s="15"/>
      <c r="E1" s="15"/>
      <c r="F1" s="15"/>
      <c r="G1" s="15"/>
      <c r="H1" s="15"/>
    </row>
    <row r="3" spans="1:8" x14ac:dyDescent="0.25">
      <c r="A3" t="s">
        <v>42</v>
      </c>
    </row>
    <row r="4" spans="1:8" x14ac:dyDescent="0.25">
      <c r="A4" t="s">
        <v>43</v>
      </c>
    </row>
    <row r="5" spans="1:8" x14ac:dyDescent="0.25">
      <c r="A5" s="8" t="s">
        <v>44</v>
      </c>
    </row>
    <row r="6" spans="1:8" x14ac:dyDescent="0.25">
      <c r="A6" t="s">
        <v>94</v>
      </c>
    </row>
    <row r="8" spans="1:8" ht="18.75" x14ac:dyDescent="0.35">
      <c r="A8" s="14" t="s">
        <v>95</v>
      </c>
      <c r="B8" s="14"/>
      <c r="C8" s="14"/>
      <c r="D8" s="14"/>
      <c r="E8" s="14"/>
      <c r="F8" s="14"/>
      <c r="G8" s="14"/>
      <c r="H8" s="14"/>
    </row>
    <row r="10" spans="1:8" x14ac:dyDescent="0.25">
      <c r="A10" s="3" t="s">
        <v>96</v>
      </c>
    </row>
    <row r="11" spans="1:8" x14ac:dyDescent="0.25">
      <c r="A11" t="s">
        <v>97</v>
      </c>
    </row>
    <row r="12" spans="1:8" x14ac:dyDescent="0.25">
      <c r="A12" t="s">
        <v>61</v>
      </c>
    </row>
    <row r="14" spans="1:8" x14ac:dyDescent="0.25">
      <c r="A14" t="s">
        <v>0</v>
      </c>
      <c r="B14" s="6">
        <v>7</v>
      </c>
      <c r="C14" s="4" t="s">
        <v>21</v>
      </c>
    </row>
    <row r="15" spans="1:8" x14ac:dyDescent="0.25">
      <c r="A15" t="s">
        <v>1</v>
      </c>
      <c r="B15" s="6">
        <v>9</v>
      </c>
      <c r="C15" s="4" t="s">
        <v>26</v>
      </c>
      <c r="F15" s="9" t="s">
        <v>30</v>
      </c>
      <c r="G15" s="11">
        <f>B14/B15</f>
        <v>0.77777777777777779</v>
      </c>
      <c r="H15" s="10" t="s">
        <v>31</v>
      </c>
    </row>
    <row r="16" spans="1:8" x14ac:dyDescent="0.25">
      <c r="A16" t="s">
        <v>23</v>
      </c>
      <c r="B16" s="7">
        <f>ErlangB(B14,B15)</f>
        <v>0.12210134325009794</v>
      </c>
      <c r="C16" s="4" t="s">
        <v>22</v>
      </c>
    </row>
  </sheetData>
  <mergeCells count="2">
    <mergeCell ref="A1:H1"/>
    <mergeCell ref="A8:H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MM1</vt:lpstr>
      <vt:lpstr>MMc</vt:lpstr>
      <vt:lpstr>MMcKM</vt:lpstr>
      <vt:lpstr>MMcc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Herzog</dc:creator>
  <cp:lastModifiedBy>Alexander Herzog</cp:lastModifiedBy>
  <cp:lastPrinted>2016-09-19T07:33:34Z</cp:lastPrinted>
  <dcterms:created xsi:type="dcterms:W3CDTF">2016-09-15T06:14:56Z</dcterms:created>
  <dcterms:modified xsi:type="dcterms:W3CDTF">2016-10-03T14:27:49Z</dcterms:modified>
</cp:coreProperties>
</file>